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workspace_ccstheia\"/>
    </mc:Choice>
  </mc:AlternateContent>
  <xr:revisionPtr revIDLastSave="0" documentId="13_ncr:1_{14FDBFAB-B876-45CD-B33A-275FA2BC36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主表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" i="1" l="1"/>
  <c r="P8" i="1"/>
  <c r="P7" i="1"/>
  <c r="P6" i="1"/>
  <c r="P5" i="1"/>
  <c r="P4" i="1"/>
  <c r="P3" i="1"/>
  <c r="P2" i="1"/>
  <c r="P11" i="1"/>
</calcChain>
</file>

<file path=xl/sharedStrings.xml><?xml version="1.0" encoding="utf-8"?>
<sst xmlns="http://schemas.openxmlformats.org/spreadsheetml/2006/main" count="100" uniqueCount="87">
  <si>
    <t>序号</t>
  </si>
  <si>
    <t>模块分类</t>
  </si>
  <si>
    <t>器件名称</t>
  </si>
  <si>
    <t>型号/规格</t>
  </si>
  <si>
    <t>厂家/品牌</t>
  </si>
  <si>
    <t>功能说明</t>
  </si>
  <si>
    <t>关键参数（待填）</t>
  </si>
  <si>
    <t>额定电压(V)</t>
  </si>
  <si>
    <t>额定电流(A)</t>
  </si>
  <si>
    <t>接口类型</t>
  </si>
  <si>
    <t>数量</t>
  </si>
  <si>
    <t>封装/尺寸</t>
  </si>
  <si>
    <t>安装位置</t>
  </si>
  <si>
    <t>采购链接/料号</t>
  </si>
  <si>
    <t>单价(元)</t>
  </si>
  <si>
    <t>小计(元)</t>
  </si>
  <si>
    <t>替代型号</t>
  </si>
  <si>
    <t>状态</t>
  </si>
  <si>
    <t>测试结果</t>
  </si>
  <si>
    <t>备注</t>
  </si>
  <si>
    <t>视觉模块</t>
  </si>
  <si>
    <t>摄像头</t>
  </si>
  <si>
    <t>待填写</t>
  </si>
  <si>
    <t>球体坐标采集</t>
  </si>
  <si>
    <t>分辨率/帧率/视场角</t>
  </si>
  <si>
    <t>UART</t>
  </si>
  <si>
    <t>平台上方中心</t>
  </si>
  <si>
    <t>主控模块</t>
  </si>
  <si>
    <t>主控开发板</t>
  </si>
  <si>
    <t>控制算法执行与通信</t>
  </si>
  <si>
    <t>主频/Flash/RAM</t>
  </si>
  <si>
    <t>UART/GPIO</t>
  </si>
  <si>
    <t>控制板区域</t>
  </si>
  <si>
    <t>姿态传感</t>
  </si>
  <si>
    <t>姿态传感器</t>
  </si>
  <si>
    <t>平台角度反馈</t>
  </si>
  <si>
    <t>量程/精度/输出频率</t>
  </si>
  <si>
    <t>UART/I2C</t>
  </si>
  <si>
    <t>平台附近</t>
  </si>
  <si>
    <t>执行机构</t>
  </si>
  <si>
    <t>步进电机</t>
  </si>
  <si>
    <t>平台双轴驱动</t>
  </si>
  <si>
    <t>步距角/保持力矩/相电流</t>
  </si>
  <si>
    <t>脉冲+方向</t>
  </si>
  <si>
    <t>X/Y轴驱动位</t>
  </si>
  <si>
    <t>步进驱动器</t>
  </si>
  <si>
    <t>电机细分与电流控制</t>
  </si>
  <si>
    <t>细分/最大电流/输入电平</t>
  </si>
  <si>
    <t>GPIO</t>
  </si>
  <si>
    <t>驱动板区域</t>
  </si>
  <si>
    <t>供电模块</t>
  </si>
  <si>
    <t>开关电源/适配器</t>
  </si>
  <si>
    <t>系统供电</t>
  </si>
  <si>
    <t>输出电压/最大功率</t>
  </si>
  <si>
    <t>DC</t>
  </si>
  <si>
    <t>底板</t>
  </si>
  <si>
    <t>连接附件</t>
  </si>
  <si>
    <t>线束与接插件</t>
  </si>
  <si>
    <t>模块连接</t>
  </si>
  <si>
    <t>线径/长度/端子规格</t>
  </si>
  <si>
    <t>多种</t>
  </si>
  <si>
    <t>全平台</t>
  </si>
  <si>
    <t>机械结构</t>
  </si>
  <si>
    <t>平台与支架</t>
  </si>
  <si>
    <t>承载与安装</t>
  </si>
  <si>
    <t>尺寸/材质/加工方式</t>
  </si>
  <si>
    <t>机械件</t>
  </si>
  <si>
    <t>整机</t>
  </si>
  <si>
    <t>总计(元)</t>
  </si>
  <si>
    <t>硬件BOM清单填写说明</t>
  </si>
  <si>
    <t>1. 黄色表头列为需维护的BOM字段，建议先补齐“型号/规格、数量、单价、状态”。</t>
  </si>
  <si>
    <t>2. “关键参数（待填）”建议写可核验指标，如分辨率、步距角、量程、最大电流。</t>
  </si>
  <si>
    <t>3. “状态”列可从下拉框选择：待确认/已确认/已采购/已到货/已安装/已验证。</t>
  </si>
  <si>
    <t>4. 小计=数量×单价；表底自动汇总总价。</t>
  </si>
  <si>
    <t>5. 若后续新增器件，可在 BOM主表 末行继续追加。</t>
  </si>
  <si>
    <t>6. 建议按“视觉模块、主控模块、姿态传感、执行机构、供电模块、连接附件、机械结构”分组维护。</t>
  </si>
  <si>
    <t>Maixcam</t>
    <phoneticPr fontId="3" type="noConversion"/>
  </si>
  <si>
    <t>sipeed</t>
    <phoneticPr fontId="3" type="noConversion"/>
  </si>
  <si>
    <t>mspm0G3507 launchpad</t>
    <phoneticPr fontId="3" type="noConversion"/>
  </si>
  <si>
    <t>JY931</t>
    <phoneticPr fontId="3" type="noConversion"/>
  </si>
  <si>
    <t>维特</t>
    <phoneticPr fontId="3" type="noConversion"/>
  </si>
  <si>
    <t>42步进电机</t>
    <phoneticPr fontId="3" type="noConversion"/>
  </si>
  <si>
    <t>轮趣科技</t>
    <phoneticPr fontId="3" type="noConversion"/>
  </si>
  <si>
    <t>12V DC适配器</t>
    <phoneticPr fontId="3" type="noConversion"/>
  </si>
  <si>
    <t>略</t>
    <phoneticPr fontId="3" type="noConversion"/>
  </si>
  <si>
    <t>D36A双路步进电机驱动</t>
    <phoneticPr fontId="3" type="noConversion"/>
  </si>
  <si>
    <t>已确认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</si>
</sst>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4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I1" zoomScale="145" zoomScaleNormal="145" workbookViewId="0">
      <pane ySplit="1" topLeftCell="A2" activePane="bottomLeft" state="frozen"/>
      <selection pane="bottomLeft" activeCell="R9" sqref="R9"/>
    </sheetView>
  </sheetViews>
  <sheetFormatPr defaultRowHeight="14" x14ac:dyDescent="0.25"/>
  <cols>
    <col min="1" max="1" width="6" customWidth="1"/>
    <col min="2" max="2" width="12" customWidth="1"/>
    <col min="3" max="3" width="14" customWidth="1"/>
    <col min="4" max="4" width="18" customWidth="1"/>
    <col min="5" max="5" width="14" customWidth="1"/>
    <col min="6" max="6" width="20" customWidth="1"/>
    <col min="7" max="7" width="24" customWidth="1"/>
    <col min="8" max="10" width="12" customWidth="1"/>
    <col min="11" max="11" width="8" customWidth="1"/>
    <col min="12" max="13" width="14" customWidth="1"/>
    <col min="14" max="14" width="20" customWidth="1"/>
    <col min="15" max="16" width="10" customWidth="1"/>
    <col min="17" max="17" width="14" customWidth="1"/>
    <col min="18" max="18" width="12" customWidth="1"/>
    <col min="19" max="19" width="14" customWidth="1"/>
    <col min="20" max="20" width="18" customWidth="1"/>
  </cols>
  <sheetData>
    <row r="1" spans="1:20" ht="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 t="s">
        <v>20</v>
      </c>
      <c r="C2" s="2" t="s">
        <v>21</v>
      </c>
      <c r="D2" s="2" t="s">
        <v>76</v>
      </c>
      <c r="E2" s="2" t="s">
        <v>77</v>
      </c>
      <c r="F2" s="2" t="s">
        <v>23</v>
      </c>
      <c r="G2" s="2" t="s">
        <v>24</v>
      </c>
      <c r="H2" s="2"/>
      <c r="I2" s="2"/>
      <c r="J2" s="2" t="s">
        <v>25</v>
      </c>
      <c r="K2" s="2">
        <v>1</v>
      </c>
      <c r="L2" s="2"/>
      <c r="M2" s="2" t="s">
        <v>26</v>
      </c>
      <c r="N2" s="2"/>
      <c r="O2" s="2"/>
      <c r="P2" s="2" t="str">
        <f t="shared" ref="P2:P9" si="0">IF(AND(K2&lt;&gt;"",O2&lt;&gt;""),K2*O2,"")</f>
        <v/>
      </c>
      <c r="Q2" s="2"/>
      <c r="R2" s="2" t="s">
        <v>86</v>
      </c>
      <c r="S2" s="2"/>
      <c r="T2" s="2"/>
    </row>
    <row r="3" spans="1:20" ht="28" x14ac:dyDescent="0.25">
      <c r="A3" s="2">
        <v>2</v>
      </c>
      <c r="B3" s="2" t="s">
        <v>27</v>
      </c>
      <c r="C3" s="2" t="s">
        <v>28</v>
      </c>
      <c r="D3" s="2" t="s">
        <v>78</v>
      </c>
      <c r="E3" s="2" t="s">
        <v>22</v>
      </c>
      <c r="F3" s="2" t="s">
        <v>29</v>
      </c>
      <c r="G3" s="2" t="s">
        <v>30</v>
      </c>
      <c r="H3" s="2"/>
      <c r="I3" s="2"/>
      <c r="J3" s="2" t="s">
        <v>31</v>
      </c>
      <c r="K3" s="2">
        <v>1</v>
      </c>
      <c r="L3" s="2"/>
      <c r="M3" s="2" t="s">
        <v>32</v>
      </c>
      <c r="N3" s="2"/>
      <c r="O3" s="2"/>
      <c r="P3" s="2" t="str">
        <f t="shared" si="0"/>
        <v/>
      </c>
      <c r="Q3" s="2"/>
      <c r="R3" s="2" t="s">
        <v>86</v>
      </c>
      <c r="S3" s="2"/>
      <c r="T3" s="2"/>
    </row>
    <row r="4" spans="1:20" x14ac:dyDescent="0.25">
      <c r="A4" s="2">
        <v>3</v>
      </c>
      <c r="B4" s="2" t="s">
        <v>33</v>
      </c>
      <c r="C4" s="2" t="s">
        <v>34</v>
      </c>
      <c r="D4" s="2" t="s">
        <v>79</v>
      </c>
      <c r="E4" s="2" t="s">
        <v>80</v>
      </c>
      <c r="F4" s="2" t="s">
        <v>35</v>
      </c>
      <c r="G4" s="2" t="s">
        <v>36</v>
      </c>
      <c r="H4" s="2"/>
      <c r="I4" s="2"/>
      <c r="J4" s="2" t="s">
        <v>37</v>
      </c>
      <c r="K4" s="2">
        <v>1</v>
      </c>
      <c r="L4" s="2"/>
      <c r="M4" s="2" t="s">
        <v>38</v>
      </c>
      <c r="N4" s="2"/>
      <c r="O4" s="2"/>
      <c r="P4" s="2" t="str">
        <f t="shared" si="0"/>
        <v/>
      </c>
      <c r="Q4" s="2"/>
      <c r="R4" s="2" t="s">
        <v>86</v>
      </c>
      <c r="S4" s="2"/>
      <c r="T4" s="2"/>
    </row>
    <row r="5" spans="1:20" x14ac:dyDescent="0.25">
      <c r="A5" s="2">
        <v>4</v>
      </c>
      <c r="B5" s="2" t="s">
        <v>39</v>
      </c>
      <c r="C5" s="2" t="s">
        <v>40</v>
      </c>
      <c r="D5" s="2" t="s">
        <v>81</v>
      </c>
      <c r="E5" s="2" t="s">
        <v>82</v>
      </c>
      <c r="F5" s="2" t="s">
        <v>41</v>
      </c>
      <c r="G5" s="2" t="s">
        <v>42</v>
      </c>
      <c r="H5" s="2"/>
      <c r="I5" s="2"/>
      <c r="J5" s="2" t="s">
        <v>43</v>
      </c>
      <c r="K5" s="2">
        <v>2</v>
      </c>
      <c r="L5" s="2"/>
      <c r="M5" s="2" t="s">
        <v>44</v>
      </c>
      <c r="N5" s="2"/>
      <c r="O5" s="2"/>
      <c r="P5" s="2" t="str">
        <f t="shared" si="0"/>
        <v/>
      </c>
      <c r="Q5" s="2"/>
      <c r="R5" s="2" t="s">
        <v>86</v>
      </c>
      <c r="S5" s="2"/>
      <c r="T5" s="2"/>
    </row>
    <row r="6" spans="1:20" ht="28" x14ac:dyDescent="0.25">
      <c r="A6" s="2">
        <v>5</v>
      </c>
      <c r="B6" s="2" t="s">
        <v>39</v>
      </c>
      <c r="C6" s="2" t="s">
        <v>45</v>
      </c>
      <c r="D6" s="2" t="s">
        <v>85</v>
      </c>
      <c r="E6" s="2" t="s">
        <v>82</v>
      </c>
      <c r="F6" s="2" t="s">
        <v>46</v>
      </c>
      <c r="G6" s="2" t="s">
        <v>47</v>
      </c>
      <c r="H6" s="2"/>
      <c r="I6" s="2"/>
      <c r="J6" s="2" t="s">
        <v>48</v>
      </c>
      <c r="K6" s="2">
        <v>1</v>
      </c>
      <c r="L6" s="2"/>
      <c r="M6" s="2" t="s">
        <v>49</v>
      </c>
      <c r="N6" s="2"/>
      <c r="O6" s="2"/>
      <c r="P6" s="2" t="str">
        <f t="shared" si="0"/>
        <v/>
      </c>
      <c r="Q6" s="2"/>
      <c r="R6" s="2" t="s">
        <v>86</v>
      </c>
      <c r="S6" s="2"/>
      <c r="T6" s="2"/>
    </row>
    <row r="7" spans="1:20" ht="28" x14ac:dyDescent="0.25">
      <c r="A7" s="2">
        <v>6</v>
      </c>
      <c r="B7" s="2" t="s">
        <v>50</v>
      </c>
      <c r="C7" s="2" t="s">
        <v>51</v>
      </c>
      <c r="D7" s="2" t="s">
        <v>83</v>
      </c>
      <c r="E7" s="2" t="s">
        <v>84</v>
      </c>
      <c r="F7" s="2" t="s">
        <v>52</v>
      </c>
      <c r="G7" s="2" t="s">
        <v>53</v>
      </c>
      <c r="H7" s="2"/>
      <c r="I7" s="2"/>
      <c r="J7" s="2" t="s">
        <v>54</v>
      </c>
      <c r="K7" s="2">
        <v>1</v>
      </c>
      <c r="L7" s="2"/>
      <c r="M7" s="2" t="s">
        <v>55</v>
      </c>
      <c r="N7" s="2"/>
      <c r="O7" s="2"/>
      <c r="P7" s="2" t="str">
        <f t="shared" si="0"/>
        <v/>
      </c>
      <c r="Q7" s="2"/>
      <c r="R7" s="2" t="s">
        <v>86</v>
      </c>
      <c r="S7" s="2"/>
      <c r="T7" s="2"/>
    </row>
    <row r="8" spans="1:20" x14ac:dyDescent="0.25">
      <c r="A8" s="2">
        <v>7</v>
      </c>
      <c r="B8" s="2" t="s">
        <v>56</v>
      </c>
      <c r="C8" s="2" t="s">
        <v>57</v>
      </c>
      <c r="D8" s="2" t="s">
        <v>84</v>
      </c>
      <c r="E8" s="2" t="s">
        <v>84</v>
      </c>
      <c r="F8" s="2" t="s">
        <v>58</v>
      </c>
      <c r="G8" s="2" t="s">
        <v>59</v>
      </c>
      <c r="H8" s="2"/>
      <c r="I8" s="2"/>
      <c r="J8" s="2" t="s">
        <v>60</v>
      </c>
      <c r="K8" s="2">
        <v>1</v>
      </c>
      <c r="L8" s="2"/>
      <c r="M8" s="2" t="s">
        <v>61</v>
      </c>
      <c r="N8" s="2"/>
      <c r="O8" s="2"/>
      <c r="P8" s="2" t="str">
        <f t="shared" si="0"/>
        <v/>
      </c>
      <c r="Q8" s="2"/>
      <c r="R8" s="2" t="s">
        <v>86</v>
      </c>
      <c r="S8" s="2"/>
      <c r="T8" s="2"/>
    </row>
    <row r="9" spans="1:20" x14ac:dyDescent="0.25">
      <c r="A9" s="2">
        <v>8</v>
      </c>
      <c r="B9" s="2" t="s">
        <v>62</v>
      </c>
      <c r="C9" s="2" t="s">
        <v>63</v>
      </c>
      <c r="D9" s="2" t="s">
        <v>84</v>
      </c>
      <c r="E9" s="2" t="s">
        <v>84</v>
      </c>
      <c r="F9" s="2" t="s">
        <v>64</v>
      </c>
      <c r="G9" s="2" t="s">
        <v>65</v>
      </c>
      <c r="H9" s="2"/>
      <c r="I9" s="2"/>
      <c r="J9" s="2" t="s">
        <v>66</v>
      </c>
      <c r="K9" s="2">
        <v>1</v>
      </c>
      <c r="L9" s="2"/>
      <c r="M9" s="2" t="s">
        <v>67</v>
      </c>
      <c r="N9" s="2"/>
      <c r="O9" s="2"/>
      <c r="P9" s="2" t="str">
        <f t="shared" si="0"/>
        <v/>
      </c>
      <c r="Q9" s="2"/>
      <c r="R9" s="2" t="s">
        <v>86</v>
      </c>
      <c r="S9" s="2"/>
      <c r="T9" s="2"/>
    </row>
    <row r="11" spans="1:20" x14ac:dyDescent="0.25">
      <c r="N11" s="3" t="s">
        <v>68</v>
      </c>
      <c r="P11" s="3" t="str">
        <f ca="1">SUM(P2:P11)</f>
        <v/>
      </c>
    </row>
  </sheetData>
  <phoneticPr fontId="3" type="noConversion"/>
  <dataValidations count="1">
    <dataValidation type="list" allowBlank="1" sqref="R2:R9" xr:uid="{00000000-0002-0000-0000-000000000000}">
      <formula1>"待确认,已确认,已采购,已到货,已安装,已验证"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" x14ac:dyDescent="0.25"/>
  <cols>
    <col min="1" max="1" width="120" customWidth="1"/>
  </cols>
  <sheetData>
    <row r="1" spans="1:1" ht="17.5" x14ac:dyDescent="0.3">
      <c r="A1" s="4" t="s">
        <v>69</v>
      </c>
    </row>
    <row r="3" spans="1:1" x14ac:dyDescent="0.25">
      <c r="A3" s="5" t="s">
        <v>70</v>
      </c>
    </row>
    <row r="4" spans="1:1" x14ac:dyDescent="0.25">
      <c r="A4" s="5" t="s">
        <v>71</v>
      </c>
    </row>
    <row r="5" spans="1:1" x14ac:dyDescent="0.25">
      <c r="A5" s="5" t="s">
        <v>72</v>
      </c>
    </row>
    <row r="6" spans="1:1" x14ac:dyDescent="0.25">
      <c r="A6" s="5" t="s">
        <v>73</v>
      </c>
    </row>
    <row r="7" spans="1:1" x14ac:dyDescent="0.25">
      <c r="A7" s="5" t="s">
        <v>74</v>
      </c>
    </row>
    <row r="8" spans="1:1" x14ac:dyDescent="0.25">
      <c r="A8" s="5" t="s">
        <v>75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BOM主表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路 一凡</cp:lastModifiedBy>
  <dcterms:created xsi:type="dcterms:W3CDTF">2026-04-26T11:31:41Z</dcterms:created>
  <dcterms:modified xsi:type="dcterms:W3CDTF">2026-04-26T11:50:36Z</dcterms:modified>
</cp:coreProperties>
</file>